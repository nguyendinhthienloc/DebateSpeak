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int WBS (Tasks)" sheetId="1" r:id="rId1"/>
    <sheet name="Immediate Action Plan" sheetId="2" r:id="rId2"/>
    <sheet name="QA &amp; Testing Matrix" sheetId="3" r:id="rId3"/>
    <sheet name="Cost &amp; Budget Model" sheetId="4" r:id="rId4"/>
  </sheets>
  <calcPr calcId="124519" fullCalcOnLoad="1"/>
</workbook>
</file>

<file path=xl/sharedStrings.xml><?xml version="1.0" encoding="utf-8"?>
<sst xmlns="http://schemas.openxmlformats.org/spreadsheetml/2006/main" count="299" uniqueCount="217">
  <si>
    <t>DebateSpeak AI — DevOps &amp; QA / Fact-Checking Lead WBS</t>
  </si>
  <si>
    <t>Owner: Nguyễn Đình Thiên Lộc (Student ID: 24125093) | Role: R5 | 5 Sprints (PA1–PA5)</t>
  </si>
  <si>
    <t>Task ID</t>
  </si>
  <si>
    <t>Sprint / PA</t>
  </si>
  <si>
    <t>Category</t>
  </si>
  <si>
    <t>Task Description &amp; Objective</t>
  </si>
  <si>
    <t>Deliverable / File Artifact</t>
  </si>
  <si>
    <t>Reviewer</t>
  </si>
  <si>
    <t>Story Points</t>
  </si>
  <si>
    <t>Priority</t>
  </si>
  <si>
    <t>Status</t>
  </si>
  <si>
    <t>T1.1</t>
  </si>
  <si>
    <t>Sprint 1 (PA1)</t>
  </si>
  <si>
    <t>DevOps / CI</t>
  </si>
  <si>
    <t>Repository setup, monorepo layout, code style linters (Ruff, ESLint), GitHub Actions CI</t>
  </si>
  <si>
    <t>.github/workflows/ci.yml</t>
  </si>
  <si>
    <t>R2 (Tài)</t>
  </si>
  <si>
    <t>CRITICAL</t>
  </si>
  <si>
    <t>In Progress</t>
  </si>
  <si>
    <t>T1.2</t>
  </si>
  <si>
    <t>DevOps / Infra</t>
  </si>
  <si>
    <t>Docker Compose setup for local dev (PostgreSQL 16, Redis 7, LiveKit dev) &amp; clean .env.example</t>
  </si>
  <si>
    <t>docker-compose.yml, .env.example</t>
  </si>
  <si>
    <t>Done</t>
  </si>
  <si>
    <t>T1.6</t>
  </si>
  <si>
    <t>Management</t>
  </si>
  <si>
    <t>Setup Dev Tools, Scrum Process &amp; Incremental Slices specification</t>
  </si>
  <si>
    <t>docs/management/DEV_TOOLS_AND_PROCESS.md</t>
  </si>
  <si>
    <t>MAJOR</t>
  </si>
  <si>
    <t>T1.8</t>
  </si>
  <si>
    <t>QA / Testing</t>
  </si>
  <si>
    <t>Draft comprehensive QA &amp; Testing Plan (Unit, Integration, Audio chaos, Golden sets)</t>
  </si>
  <si>
    <t>docs/testing/TESTING_PLAN.md</t>
  </si>
  <si>
    <t>R3 (Khoa)</t>
  </si>
  <si>
    <t>T1.9</t>
  </si>
  <si>
    <t>Academic / LaTeX</t>
  </si>
  <si>
    <t>Configure latexmk academic report compilation pipeline &amp; compile submission PDF</t>
  </si>
  <si>
    <t>report/report.tex, report/build/report.pdf</t>
  </si>
  <si>
    <t>R1 (Triết)</t>
  </si>
  <si>
    <t>T2.1</t>
  </si>
  <si>
    <t>Sprint 2 (PA2)</t>
  </si>
  <si>
    <t>Author Project Plan: Goals, deliverables, risks, 5-sprint schedule, build plan</t>
  </si>
  <si>
    <t>docs/pa2/PROJECT_PLAN.md</t>
  </si>
  <si>
    <t>Planned</t>
  </si>
  <si>
    <t>T2.R</t>
  </si>
  <si>
    <t>QA / Review</t>
  </si>
  <si>
    <t>Verify Backend Build 1: PostgreSQL migrations, Argon2id auth, JWT rotation, and room lobby endpoints</t>
  </si>
  <si>
    <t>api/tests/unit/test_auth.py</t>
  </si>
  <si>
    <t>T3.1</t>
  </si>
  <si>
    <t>Sprint 3 (PA3)</t>
  </si>
  <si>
    <t>Revised Project Plan &amp; Vision Document with Changes.md (incorporating TA feedback)</t>
  </si>
  <si>
    <t>docs/pa3/Changes.md</t>
  </si>
  <si>
    <t>T3.R</t>
  </si>
  <si>
    <t>E2E testing of Functional Group 03 (Room &amp; Live Session Management) with mock clients</t>
  </si>
  <si>
    <t>tests/e2e/test_rooms_lobby.py</t>
  </si>
  <si>
    <t>T4.4</t>
  </si>
  <si>
    <t>Sprint 4 (PA4)</t>
  </si>
  <si>
    <t>Author Deployment Diagram &amp; setup Caddy TLS reverse proxy on staging VM (mic permission HTTPS)</t>
  </si>
  <si>
    <t>docs/pa4/DEPLOYMENT_DIAGRAM.md, Caddyfile</t>
  </si>
  <si>
    <t>T4.7</t>
  </si>
  <si>
    <t>Sprint 4 AI Usage Report &amp; Weekly Report (Scrum metrics, token consumption)</t>
  </si>
  <si>
    <t>docs/pa4/WEEKLY_REPORT.md</t>
  </si>
  <si>
    <t>T4.R</t>
  </si>
  <si>
    <t>QA / Audio</t>
  </si>
  <si>
    <t>Validate audio streaming pipeline under latency &amp; packet loss chaos tests (Playwright fake media)</t>
  </si>
  <si>
    <t>tests/e2e/test_audio_stream.py</t>
  </si>
  <si>
    <t>T5.1</t>
  </si>
  <si>
    <t>Sprint 5 (PA5)</t>
  </si>
  <si>
    <t>Execute Test Plan &amp; Refine Test Cases: Negative edge cases, state machine violations, grounding guard</t>
  </si>
  <si>
    <t>docs/pa5/TEST_EXECUTION_REPORT.md</t>
  </si>
  <si>
    <t>T5.2</t>
  </si>
  <si>
    <t>QA / Defects</t>
  </si>
  <si>
    <t>Document pass/fail matrix, triage bug reports, and verify zero open P0/P1 defects</t>
  </si>
  <si>
    <t>docs/pa5/DEFECT_MATRIX.md</t>
  </si>
  <si>
    <t>R4 (Tuấn)</t>
  </si>
  <si>
    <t>T5.3</t>
  </si>
  <si>
    <t>Fact-Checking</t>
  </si>
  <si>
    <t>Fact-Checking Engine Hardening: Claim detection threshold, search retrieval sanitization, and Skeptic consensus</t>
  </si>
  <si>
    <t>workers/analysis/factcheck.py</t>
  </si>
  <si>
    <t>T5.6</t>
  </si>
  <si>
    <t>Author Final Reflective Report: SDLC critique, tooling evaluation, individual workload distribution</t>
  </si>
  <si>
    <t>docs/pa5/REFLECTIVE_REPORT.md</t>
  </si>
  <si>
    <t>All Leads</t>
  </si>
  <si>
    <t>T5.7</t>
  </si>
  <si>
    <t>DevOps / Release</t>
  </si>
  <si>
    <t>Final Codebase Freeze, tag release v5.0-final, and package submission ZIP archive</t>
  </si>
  <si>
    <t>PA5-Group01.zip</t>
  </si>
  <si>
    <t>Immediate Tactical Action Plan — Next 7 Days</t>
  </si>
  <si>
    <t>Priority sequence to unblock team members (Tài, Triết, Khoa, Tuấn)</t>
  </si>
  <si>
    <t>Step</t>
  </si>
  <si>
    <t>Action Item</t>
  </si>
  <si>
    <t>Target Directory / File</t>
  </si>
  <si>
    <t>Why It Matters</t>
  </si>
  <si>
    <t>Unblocks Whom?</t>
  </si>
  <si>
    <t>Est. Time</t>
  </si>
  <si>
    <t>Step 1</t>
  </si>
  <si>
    <t>Local Docker Compose Infrastructure Setup</t>
  </si>
  <si>
    <t>Run PostgreSQL 16, Redis 7, LiveKit locally with 1 command</t>
  </si>
  <si>
    <t>Everyone</t>
  </si>
  <si>
    <t>Completed</t>
  </si>
  <si>
    <t>Step 2</t>
  </si>
  <si>
    <t>Update README.md with Quick Start &amp; Health Checks</t>
  </si>
  <si>
    <t>README.md</t>
  </si>
  <si>
    <t>Teammates and evaluators can boot and verify the system in 2 mins</t>
  </si>
  <si>
    <t>Everyone / Graders</t>
  </si>
  <si>
    <t>Step 3</t>
  </si>
  <si>
    <t>Monorepo Directory Layout Scaffolding</t>
  </si>
  <si>
    <t>api/, web/, workers/, tests/, scripts/</t>
  </si>
  <si>
    <t>Establishes clean architecture layout per TESTING_PLAN.md</t>
  </si>
  <si>
    <t>Tài (R2), Triết (R1)</t>
  </si>
  <si>
    <t>15 mins</t>
  </si>
  <si>
    <t>Step 4</t>
  </si>
  <si>
    <t>Backend &amp; Frontend Linter Configurations</t>
  </si>
  <si>
    <t>api/pyproject.toml, web/eslint.config.js</t>
  </si>
  <si>
    <t>Enforce Ruff, Mypy, ESLint so code committed is clean and formatted</t>
  </si>
  <si>
    <t>All coders</t>
  </si>
  <si>
    <t>30 mins</t>
  </si>
  <si>
    <t>Step 5</t>
  </si>
  <si>
    <t>GitHub Actions CI Pipeline (.github/workflows/ci.yml)</t>
  </si>
  <si>
    <t>Automates linting, security audits (pip-audit), tests, and latexmk build</t>
  </si>
  <si>
    <t>All PRs</t>
  </si>
  <si>
    <t>1 hour</t>
  </si>
  <si>
    <t>Step 6</t>
  </si>
  <si>
    <t>Draft PA2 Project Plan Document (T2.1)</t>
  </si>
  <si>
    <t>Formal PA2 deliverable: Goals, risks, 5-sprint schedule, build roadmap</t>
  </si>
  <si>
    <t>Course submission</t>
  </si>
  <si>
    <t>2 hours</t>
  </si>
  <si>
    <t>QA Testing Strategy &amp; Quality Gates (NFR-15 Enforcement)</t>
  </si>
  <si>
    <t>Automated gates required for merging into develop and releasing to main</t>
  </si>
  <si>
    <t>Test Level</t>
  </si>
  <si>
    <t>Target Component</t>
  </si>
  <si>
    <t>Testing Framework</t>
  </si>
  <si>
    <t>Success Criterion</t>
  </si>
  <si>
    <t>CI Automation</t>
  </si>
  <si>
    <t>Frequency</t>
  </si>
  <si>
    <t>Unit Testing</t>
  </si>
  <si>
    <t>Backend Auth, Room State Machine, Pydantic schemas</t>
  </si>
  <si>
    <t>pytest, pytest-asyncio</t>
  </si>
  <si>
    <t>&gt;= 70% line coverage on core business logic</t>
  </si>
  <si>
    <t>Yes (GitHub Actions)</t>
  </si>
  <si>
    <t>Every PR</t>
  </si>
  <si>
    <t>Integration Testing</t>
  </si>
  <si>
    <t>FastAPI + PostgreSQL + Redis (Token minting, session state)</t>
  </si>
  <si>
    <t>pytest, respx, testcontainers / service containers</t>
  </si>
  <si>
    <t>100% pass on state transition fixtures</t>
  </si>
  <si>
    <t>Frontend Unit &amp; Component</t>
  </si>
  <si>
    <t>React components, audio volume bars, transcript viewer</t>
  </si>
  <si>
    <t>Vitest, React Testing Library</t>
  </si>
  <si>
    <t>Zero rendering regressions, 100% pass</t>
  </si>
  <si>
    <t>E2E WebRTC Smoke Test</t>
  </si>
  <si>
    <t>Two mock users entering room, subscribing to audio</t>
  </si>
  <si>
    <t>Playwright with fake media flags</t>
  </si>
  <si>
    <t>Room transitions from LOBBY -&gt; LIVE -&gt; COMPLETED</t>
  </si>
  <si>
    <t>Yes (Scheduled/PR)</t>
  </si>
  <si>
    <t>Nightly &amp; PR</t>
  </si>
  <si>
    <t>Security &amp; Vulnerability</t>
  </si>
  <si>
    <t>Python packages (pip-audit), npm dependencies, secrets scan</t>
  </si>
  <si>
    <t>pip-audit, npm audit, Gitleaks</t>
  </si>
  <si>
    <t>Zero critical/high vulnerabilities; 0 secret leaks</t>
  </si>
  <si>
    <t>Every commit</t>
  </si>
  <si>
    <t>Golden Set LLM Eval</t>
  </si>
  <si>
    <t>Language Coach, Argument Coach, Consensus Judge</t>
  </si>
  <si>
    <t>Golden evaluation benchmark scripts</t>
  </si>
  <si>
    <t>0 hallucinated quotes; 100% quote grounding</t>
  </si>
  <si>
    <t>Semi-automated</t>
  </si>
  <si>
    <t>Weekly sprint end</t>
  </si>
  <si>
    <t>Academic LaTeX Build</t>
  </si>
  <si>
    <t>Course PDF submission report (report/report.tex)</t>
  </si>
  <si>
    <t>latexmk -pdf</t>
  </si>
  <si>
    <t>0 compilation fatal errors, clean PDF output</t>
  </si>
  <si>
    <t>Every push to docs/report</t>
  </si>
  <si>
    <t>DebateSpeak AI — Operational Cost Model (Per 10-Minute Debate)</t>
  </si>
  <si>
    <t>Standardized calculation enforcing NFR-14 (Cost Control &lt; $0.25 / debate budget)</t>
  </si>
  <si>
    <t>Cost Category</t>
  </si>
  <si>
    <t>Service / Provider</t>
  </si>
  <si>
    <t>Usage Metric (10-Min Debate)</t>
  </si>
  <si>
    <t>Unit Pricing ($)</t>
  </si>
  <si>
    <t>Estimated Cost ($)</t>
  </si>
  <si>
    <t>Optimization Guardrail</t>
  </si>
  <si>
    <t>Risk / Buffer</t>
  </si>
  <si>
    <t>WebRTC Audio Routing</t>
  </si>
  <si>
    <t>LiveKit Cloud Free Tier</t>
  </si>
  <si>
    <t>20 participant-minutes (2 debaters x 10 min)</t>
  </si>
  <si>
    <t>Free tier covers 10,000 mins/mo (~500 debates)</t>
  </si>
  <si>
    <t>Zero cost within quota</t>
  </si>
  <si>
    <t>Speech-to-Text (STT)</t>
  </si>
  <si>
    <t>Deepgram Nova-2 Streaming</t>
  </si>
  <si>
    <t>20 audio-minutes (2 independent speaker tracks)</t>
  </si>
  <si>
    <t>Fallback: self-hosted faster-whisper ($0.00)</t>
  </si>
  <si>
    <t>Medium (highest variable cost)</t>
  </si>
  <si>
    <t>LLM: Language Coach</t>
  </si>
  <si>
    <t>Gemini 1.5 Flash / GPT-4o-mini</t>
  </si>
  <si>
    <t>~4,000 input tokens, 800 output tokens</t>
  </si>
  <si>
    <t>Chunk by speaker turn (~300 words), not whole transcript</t>
  </si>
  <si>
    <t>Low (ultra-cheap flash models)</t>
  </si>
  <si>
    <t>LLM: Argument Coach</t>
  </si>
  <si>
    <t>~4,000 input tokens, 1,000 output tokens</t>
  </si>
  <si>
    <t>Only process substantive argument turns</t>
  </si>
  <si>
    <t>Low</t>
  </si>
  <si>
    <t>LLM: Claim Detection</t>
  </si>
  <si>
    <t>~3,000 input tokens, 500 output tokens</t>
  </si>
  <si>
    <t>Sentence-by-sentence check-worthiness filter</t>
  </si>
  <si>
    <t>LLM: Skeptic &amp; Judge</t>
  </si>
  <si>
    <t>~4,000 input tokens, 1,500 output tokens</t>
  </si>
  <si>
    <t>Pass summarized coach outputs, not raw audio text</t>
  </si>
  <si>
    <t>Search / Fact-Checking</t>
  </si>
  <si>
    <t>Serper API / Tavily</t>
  </si>
  <si>
    <t>Top 8 check-worthy claims x 2 queries = 16 queries</t>
  </si>
  <si>
    <t>Strict cap at Top-N claims (N=8) with score &gt;= 0.6</t>
  </si>
  <si>
    <t>Medium (queries blow up if not capped)</t>
  </si>
  <si>
    <t>Fixed Hosting (Monthly)</t>
  </si>
  <si>
    <t>Hetzner Cloud VPS (CPX21)</t>
  </si>
  <si>
    <t>1 month staging VM (3 vCPU, 4GB RAM, Caddy HTTPS)</t>
  </si>
  <si>
    <t>Amortized across ~500 debate sessions/mo</t>
  </si>
  <si>
    <t>Fixed ~$10/month</t>
  </si>
  <si>
    <t>TOTAL ESTIMATED COST PER 10-MINUTE DEBATE</t>
  </si>
  <si>
    <t>CONFIRMED WELL BELOW $0.25 BUDGET LIMIT (NFR-14)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</si>
</sst>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.0000"/>
  </numFmts>
  <fonts count="10">
    <font>
      <sz val="11"/>
      <color theme="1"/>
      <name val="Calibri"/>
      <family val="2"/>
      <scheme val="minor"/>
    </font>
    <font>
      <b/>
      <sz val="16"/>
      <color rgb="FF1E3A8A"/>
      <name val="Calibri"/>
      <family val="2"/>
      <scheme val="minor"/>
    </font>
    <font>
      <i/>
      <sz val="10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91B1B"/>
      <name val="Calibri"/>
      <family val="2"/>
      <scheme val="minor"/>
    </font>
    <font>
      <b/>
      <sz val="10"/>
      <color rgb="FF92400E"/>
      <name val="Calibri"/>
      <family val="2"/>
      <scheme val="minor"/>
    </font>
    <font>
      <b/>
      <sz val="10"/>
      <color rgb="FF065F46"/>
      <name val="Calibri"/>
      <family val="2"/>
      <scheme val="minor"/>
    </font>
    <font>
      <sz val="10"/>
      <color rgb="FFB45309"/>
      <name val="Calibri"/>
      <family val="2"/>
      <scheme val="minor"/>
    </font>
    <font>
      <sz val="10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E3A8A"/>
  </sheetPr>
  <dimension ref="A1:I21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3" width="16.7109375" customWidth="1"/>
    <col min="4" max="4" width="50.7109375" customWidth="1"/>
    <col min="5" max="5" width="35.7109375" customWidth="1"/>
    <col min="6" max="8" width="12.7109375" customWidth="1"/>
    <col min="9" max="9" width="14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5" t="s">
        <v>12</v>
      </c>
      <c r="C5" s="4" t="s">
        <v>13</v>
      </c>
      <c r="D5" s="5" t="s">
        <v>14</v>
      </c>
      <c r="E5" s="5" t="s">
        <v>15</v>
      </c>
      <c r="F5" s="4" t="s">
        <v>16</v>
      </c>
      <c r="G5" s="6">
        <v>3</v>
      </c>
      <c r="H5" s="7" t="s">
        <v>17</v>
      </c>
      <c r="I5" s="8" t="s">
        <v>18</v>
      </c>
    </row>
    <row r="6" spans="1:9">
      <c r="A6" s="4" t="s">
        <v>19</v>
      </c>
      <c r="B6" s="5" t="s">
        <v>12</v>
      </c>
      <c r="C6" s="4" t="s">
        <v>20</v>
      </c>
      <c r="D6" s="5" t="s">
        <v>21</v>
      </c>
      <c r="E6" s="5" t="s">
        <v>22</v>
      </c>
      <c r="F6" s="4" t="s">
        <v>16</v>
      </c>
      <c r="G6" s="6">
        <v>3</v>
      </c>
      <c r="H6" s="7" t="s">
        <v>17</v>
      </c>
      <c r="I6" s="9" t="s">
        <v>23</v>
      </c>
    </row>
    <row r="7" spans="1:9">
      <c r="A7" s="4" t="s">
        <v>24</v>
      </c>
      <c r="B7" s="5" t="s">
        <v>12</v>
      </c>
      <c r="C7" s="4" t="s">
        <v>25</v>
      </c>
      <c r="D7" s="5" t="s">
        <v>26</v>
      </c>
      <c r="E7" s="5" t="s">
        <v>27</v>
      </c>
      <c r="F7" s="4" t="s">
        <v>16</v>
      </c>
      <c r="G7" s="6">
        <v>3</v>
      </c>
      <c r="H7" s="10" t="s">
        <v>28</v>
      </c>
      <c r="I7" s="9" t="s">
        <v>23</v>
      </c>
    </row>
    <row r="8" spans="1:9">
      <c r="A8" s="4" t="s">
        <v>29</v>
      </c>
      <c r="B8" s="5" t="s">
        <v>12</v>
      </c>
      <c r="C8" s="4" t="s">
        <v>30</v>
      </c>
      <c r="D8" s="5" t="s">
        <v>31</v>
      </c>
      <c r="E8" s="5" t="s">
        <v>32</v>
      </c>
      <c r="F8" s="4" t="s">
        <v>33</v>
      </c>
      <c r="G8" s="6">
        <v>5</v>
      </c>
      <c r="H8" s="7" t="s">
        <v>17</v>
      </c>
      <c r="I8" s="9" t="s">
        <v>23</v>
      </c>
    </row>
    <row r="9" spans="1:9">
      <c r="A9" s="4" t="s">
        <v>34</v>
      </c>
      <c r="B9" s="5" t="s">
        <v>12</v>
      </c>
      <c r="C9" s="4" t="s">
        <v>35</v>
      </c>
      <c r="D9" s="5" t="s">
        <v>36</v>
      </c>
      <c r="E9" s="5" t="s">
        <v>37</v>
      </c>
      <c r="F9" s="4" t="s">
        <v>38</v>
      </c>
      <c r="G9" s="6">
        <v>2</v>
      </c>
      <c r="H9" s="10" t="s">
        <v>28</v>
      </c>
      <c r="I9" s="9" t="s">
        <v>23</v>
      </c>
    </row>
    <row r="10" spans="1:9">
      <c r="A10" s="4" t="s">
        <v>39</v>
      </c>
      <c r="B10" s="5" t="s">
        <v>40</v>
      </c>
      <c r="C10" s="4" t="s">
        <v>25</v>
      </c>
      <c r="D10" s="5" t="s">
        <v>41</v>
      </c>
      <c r="E10" s="5" t="s">
        <v>42</v>
      </c>
      <c r="F10" s="4" t="s">
        <v>38</v>
      </c>
      <c r="G10" s="6">
        <v>5</v>
      </c>
      <c r="H10" s="7" t="s">
        <v>17</v>
      </c>
      <c r="I10" s="11" t="s">
        <v>43</v>
      </c>
    </row>
    <row r="11" spans="1:9">
      <c r="A11" s="4" t="s">
        <v>44</v>
      </c>
      <c r="B11" s="5" t="s">
        <v>40</v>
      </c>
      <c r="C11" s="4" t="s">
        <v>45</v>
      </c>
      <c r="D11" s="5" t="s">
        <v>46</v>
      </c>
      <c r="E11" s="5" t="s">
        <v>47</v>
      </c>
      <c r="F11" s="4" t="s">
        <v>16</v>
      </c>
      <c r="G11" s="6">
        <v>2</v>
      </c>
      <c r="H11" s="10" t="s">
        <v>28</v>
      </c>
      <c r="I11" s="11" t="s">
        <v>43</v>
      </c>
    </row>
    <row r="12" spans="1:9">
      <c r="A12" s="4" t="s">
        <v>48</v>
      </c>
      <c r="B12" s="5" t="s">
        <v>49</v>
      </c>
      <c r="C12" s="4" t="s">
        <v>25</v>
      </c>
      <c r="D12" s="5" t="s">
        <v>50</v>
      </c>
      <c r="E12" s="5" t="s">
        <v>51</v>
      </c>
      <c r="F12" s="4" t="s">
        <v>38</v>
      </c>
      <c r="G12" s="6">
        <v>3</v>
      </c>
      <c r="H12" s="10" t="s">
        <v>28</v>
      </c>
      <c r="I12" s="11" t="s">
        <v>43</v>
      </c>
    </row>
    <row r="13" spans="1:9">
      <c r="A13" s="4" t="s">
        <v>52</v>
      </c>
      <c r="B13" s="5" t="s">
        <v>49</v>
      </c>
      <c r="C13" s="4" t="s">
        <v>30</v>
      </c>
      <c r="D13" s="5" t="s">
        <v>53</v>
      </c>
      <c r="E13" s="5" t="s">
        <v>54</v>
      </c>
      <c r="F13" s="4" t="s">
        <v>38</v>
      </c>
      <c r="G13" s="6">
        <v>3</v>
      </c>
      <c r="H13" s="7" t="s">
        <v>17</v>
      </c>
      <c r="I13" s="11" t="s">
        <v>43</v>
      </c>
    </row>
    <row r="14" spans="1:9">
      <c r="A14" s="4" t="s">
        <v>55</v>
      </c>
      <c r="B14" s="5" t="s">
        <v>56</v>
      </c>
      <c r="C14" s="4" t="s">
        <v>20</v>
      </c>
      <c r="D14" s="5" t="s">
        <v>57</v>
      </c>
      <c r="E14" s="5" t="s">
        <v>58</v>
      </c>
      <c r="F14" s="4" t="s">
        <v>16</v>
      </c>
      <c r="G14" s="6">
        <v>5</v>
      </c>
      <c r="H14" s="7" t="s">
        <v>17</v>
      </c>
      <c r="I14" s="11" t="s">
        <v>43</v>
      </c>
    </row>
    <row r="15" spans="1:9">
      <c r="A15" s="4" t="s">
        <v>59</v>
      </c>
      <c r="B15" s="5" t="s">
        <v>56</v>
      </c>
      <c r="C15" s="4" t="s">
        <v>25</v>
      </c>
      <c r="D15" s="5" t="s">
        <v>60</v>
      </c>
      <c r="E15" s="5" t="s">
        <v>61</v>
      </c>
      <c r="F15" s="4" t="s">
        <v>38</v>
      </c>
      <c r="G15" s="6">
        <v>2</v>
      </c>
      <c r="H15" s="10" t="s">
        <v>28</v>
      </c>
      <c r="I15" s="11" t="s">
        <v>43</v>
      </c>
    </row>
    <row r="16" spans="1:9">
      <c r="A16" s="4" t="s">
        <v>62</v>
      </c>
      <c r="B16" s="5" t="s">
        <v>56</v>
      </c>
      <c r="C16" s="4" t="s">
        <v>63</v>
      </c>
      <c r="D16" s="5" t="s">
        <v>64</v>
      </c>
      <c r="E16" s="5" t="s">
        <v>65</v>
      </c>
      <c r="F16" s="4" t="s">
        <v>33</v>
      </c>
      <c r="G16" s="6">
        <v>3</v>
      </c>
      <c r="H16" s="7" t="s">
        <v>17</v>
      </c>
      <c r="I16" s="11" t="s">
        <v>43</v>
      </c>
    </row>
    <row r="17" spans="1:9">
      <c r="A17" s="4" t="s">
        <v>66</v>
      </c>
      <c r="B17" s="5" t="s">
        <v>67</v>
      </c>
      <c r="C17" s="4" t="s">
        <v>30</v>
      </c>
      <c r="D17" s="5" t="s">
        <v>68</v>
      </c>
      <c r="E17" s="5" t="s">
        <v>69</v>
      </c>
      <c r="F17" s="4" t="s">
        <v>16</v>
      </c>
      <c r="G17" s="6">
        <v>5</v>
      </c>
      <c r="H17" s="7" t="s">
        <v>17</v>
      </c>
      <c r="I17" s="11" t="s">
        <v>43</v>
      </c>
    </row>
    <row r="18" spans="1:9">
      <c r="A18" s="4" t="s">
        <v>70</v>
      </c>
      <c r="B18" s="5" t="s">
        <v>67</v>
      </c>
      <c r="C18" s="4" t="s">
        <v>71</v>
      </c>
      <c r="D18" s="5" t="s">
        <v>72</v>
      </c>
      <c r="E18" s="5" t="s">
        <v>73</v>
      </c>
      <c r="F18" s="4" t="s">
        <v>74</v>
      </c>
      <c r="G18" s="6">
        <v>3</v>
      </c>
      <c r="H18" s="7" t="s">
        <v>17</v>
      </c>
      <c r="I18" s="11" t="s">
        <v>43</v>
      </c>
    </row>
    <row r="19" spans="1:9">
      <c r="A19" s="4" t="s">
        <v>75</v>
      </c>
      <c r="B19" s="5" t="s">
        <v>67</v>
      </c>
      <c r="C19" s="4" t="s">
        <v>76</v>
      </c>
      <c r="D19" s="5" t="s">
        <v>77</v>
      </c>
      <c r="E19" s="5" t="s">
        <v>78</v>
      </c>
      <c r="F19" s="4" t="s">
        <v>16</v>
      </c>
      <c r="G19" s="6">
        <v>5</v>
      </c>
      <c r="H19" s="7" t="s">
        <v>17</v>
      </c>
      <c r="I19" s="11" t="s">
        <v>43</v>
      </c>
    </row>
    <row r="20" spans="1:9">
      <c r="A20" s="4" t="s">
        <v>79</v>
      </c>
      <c r="B20" s="5" t="s">
        <v>67</v>
      </c>
      <c r="C20" s="4" t="s">
        <v>25</v>
      </c>
      <c r="D20" s="5" t="s">
        <v>80</v>
      </c>
      <c r="E20" s="5" t="s">
        <v>81</v>
      </c>
      <c r="F20" s="4" t="s">
        <v>82</v>
      </c>
      <c r="G20" s="6">
        <v>5</v>
      </c>
      <c r="H20" s="7" t="s">
        <v>17</v>
      </c>
      <c r="I20" s="11" t="s">
        <v>43</v>
      </c>
    </row>
    <row r="21" spans="1:9">
      <c r="A21" s="4" t="s">
        <v>83</v>
      </c>
      <c r="B21" s="5" t="s">
        <v>67</v>
      </c>
      <c r="C21" s="4" t="s">
        <v>84</v>
      </c>
      <c r="D21" s="5" t="s">
        <v>85</v>
      </c>
      <c r="E21" s="5" t="s">
        <v>86</v>
      </c>
      <c r="F21" s="4" t="s">
        <v>82</v>
      </c>
      <c r="G21" s="6">
        <v>2</v>
      </c>
      <c r="H21" s="7" t="s">
        <v>17</v>
      </c>
      <c r="I21" s="11" t="s">
        <v>43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63EB"/>
  </sheetPr>
  <dimension ref="A1:G1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40.7109375" customWidth="1"/>
    <col min="3" max="3" width="35.7109375" customWidth="1"/>
    <col min="4" max="4" width="45.7109375" customWidth="1"/>
    <col min="5" max="5" width="18.7109375" customWidth="1"/>
    <col min="6" max="7" width="14.7109375" customWidth="1"/>
  </cols>
  <sheetData>
    <row r="1" spans="1:7">
      <c r="A1" s="1" t="s">
        <v>87</v>
      </c>
      <c r="B1" s="1"/>
      <c r="C1" s="1"/>
      <c r="D1" s="1"/>
      <c r="E1" s="1"/>
      <c r="F1" s="1"/>
      <c r="G1" s="1"/>
    </row>
    <row r="2" spans="1:7">
      <c r="A2" s="2" t="s">
        <v>88</v>
      </c>
      <c r="B2" s="2"/>
      <c r="C2" s="2"/>
      <c r="D2" s="2"/>
      <c r="E2" s="2"/>
      <c r="F2" s="2"/>
      <c r="G2" s="2"/>
    </row>
    <row r="4" spans="1:7">
      <c r="A4" s="3" t="s">
        <v>89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94</v>
      </c>
      <c r="G4" s="3" t="s">
        <v>10</v>
      </c>
    </row>
    <row r="5" spans="1:7">
      <c r="A5" s="4" t="s">
        <v>95</v>
      </c>
      <c r="B5" s="5" t="s">
        <v>96</v>
      </c>
      <c r="C5" s="5" t="s">
        <v>22</v>
      </c>
      <c r="D5" s="5" t="s">
        <v>97</v>
      </c>
      <c r="E5" s="4" t="s">
        <v>98</v>
      </c>
      <c r="F5" s="4" t="s">
        <v>99</v>
      </c>
      <c r="G5" s="9" t="s">
        <v>23</v>
      </c>
    </row>
    <row r="6" spans="1:7">
      <c r="A6" s="4" t="s">
        <v>100</v>
      </c>
      <c r="B6" s="5" t="s">
        <v>101</v>
      </c>
      <c r="C6" s="5" t="s">
        <v>102</v>
      </c>
      <c r="D6" s="5" t="s">
        <v>103</v>
      </c>
      <c r="E6" s="4" t="s">
        <v>104</v>
      </c>
      <c r="F6" s="4" t="s">
        <v>99</v>
      </c>
      <c r="G6" s="9" t="s">
        <v>23</v>
      </c>
    </row>
    <row r="7" spans="1:7">
      <c r="A7" s="4" t="s">
        <v>105</v>
      </c>
      <c r="B7" s="5" t="s">
        <v>106</v>
      </c>
      <c r="C7" s="5" t="s">
        <v>107</v>
      </c>
      <c r="D7" s="5" t="s">
        <v>108</v>
      </c>
      <c r="E7" s="4" t="s">
        <v>109</v>
      </c>
      <c r="F7" s="4" t="s">
        <v>110</v>
      </c>
      <c r="G7" s="8" t="s">
        <v>18</v>
      </c>
    </row>
    <row r="8" spans="1:7">
      <c r="A8" s="4" t="s">
        <v>111</v>
      </c>
      <c r="B8" s="5" t="s">
        <v>112</v>
      </c>
      <c r="C8" s="5" t="s">
        <v>113</v>
      </c>
      <c r="D8" s="5" t="s">
        <v>114</v>
      </c>
      <c r="E8" s="4" t="s">
        <v>115</v>
      </c>
      <c r="F8" s="4" t="s">
        <v>116</v>
      </c>
      <c r="G8" s="11" t="s">
        <v>43</v>
      </c>
    </row>
    <row r="9" spans="1:7">
      <c r="A9" s="4" t="s">
        <v>117</v>
      </c>
      <c r="B9" s="5" t="s">
        <v>118</v>
      </c>
      <c r="C9" s="5" t="s">
        <v>15</v>
      </c>
      <c r="D9" s="5" t="s">
        <v>119</v>
      </c>
      <c r="E9" s="4" t="s">
        <v>120</v>
      </c>
      <c r="F9" s="4" t="s">
        <v>121</v>
      </c>
      <c r="G9" s="11" t="s">
        <v>43</v>
      </c>
    </row>
    <row r="10" spans="1:7">
      <c r="A10" s="4" t="s">
        <v>122</v>
      </c>
      <c r="B10" s="5" t="s">
        <v>123</v>
      </c>
      <c r="C10" s="5" t="s">
        <v>42</v>
      </c>
      <c r="D10" s="5" t="s">
        <v>124</v>
      </c>
      <c r="E10" s="4" t="s">
        <v>125</v>
      </c>
      <c r="F10" s="4" t="s">
        <v>126</v>
      </c>
      <c r="G10" s="11" t="s">
        <v>43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59669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42.7109375" customWidth="1"/>
    <col min="3" max="3" width="30.7109375" customWidth="1"/>
    <col min="4" max="4" width="45.7109375" customWidth="1"/>
    <col min="5" max="5" width="20.7109375" customWidth="1"/>
    <col min="6" max="6" width="18.7109375" customWidth="1"/>
  </cols>
  <sheetData>
    <row r="1" spans="1:6">
      <c r="A1" s="1" t="s">
        <v>127</v>
      </c>
      <c r="B1" s="1"/>
      <c r="C1" s="1"/>
      <c r="D1" s="1"/>
      <c r="E1" s="1"/>
      <c r="F1" s="1"/>
    </row>
    <row r="2" spans="1:6">
      <c r="A2" s="2" t="s">
        <v>128</v>
      </c>
      <c r="B2" s="2"/>
      <c r="C2" s="2"/>
      <c r="D2" s="2"/>
      <c r="E2" s="2"/>
      <c r="F2" s="2"/>
    </row>
    <row r="4" spans="1:6">
      <c r="A4" s="3" t="s">
        <v>129</v>
      </c>
      <c r="B4" s="3" t="s">
        <v>130</v>
      </c>
      <c r="C4" s="3" t="s">
        <v>131</v>
      </c>
      <c r="D4" s="3" t="s">
        <v>132</v>
      </c>
      <c r="E4" s="3" t="s">
        <v>133</v>
      </c>
      <c r="F4" s="3" t="s">
        <v>134</v>
      </c>
    </row>
    <row r="5" spans="1:6">
      <c r="A5" s="4" t="s">
        <v>135</v>
      </c>
      <c r="B5" s="5" t="s">
        <v>136</v>
      </c>
      <c r="C5" s="5" t="s">
        <v>137</v>
      </c>
      <c r="D5" s="5" t="s">
        <v>138</v>
      </c>
      <c r="E5" s="4" t="s">
        <v>139</v>
      </c>
      <c r="F5" s="4" t="s">
        <v>140</v>
      </c>
    </row>
    <row r="6" spans="1:6">
      <c r="A6" s="4" t="s">
        <v>141</v>
      </c>
      <c r="B6" s="5" t="s">
        <v>142</v>
      </c>
      <c r="C6" s="5" t="s">
        <v>143</v>
      </c>
      <c r="D6" s="5" t="s">
        <v>144</v>
      </c>
      <c r="E6" s="4" t="s">
        <v>139</v>
      </c>
      <c r="F6" s="4" t="s">
        <v>140</v>
      </c>
    </row>
    <row r="7" spans="1:6">
      <c r="A7" s="4" t="s">
        <v>145</v>
      </c>
      <c r="B7" s="5" t="s">
        <v>146</v>
      </c>
      <c r="C7" s="5" t="s">
        <v>147</v>
      </c>
      <c r="D7" s="5" t="s">
        <v>148</v>
      </c>
      <c r="E7" s="4" t="s">
        <v>139</v>
      </c>
      <c r="F7" s="4" t="s">
        <v>140</v>
      </c>
    </row>
    <row r="8" spans="1:6">
      <c r="A8" s="4" t="s">
        <v>149</v>
      </c>
      <c r="B8" s="5" t="s">
        <v>150</v>
      </c>
      <c r="C8" s="5" t="s">
        <v>151</v>
      </c>
      <c r="D8" s="5" t="s">
        <v>152</v>
      </c>
      <c r="E8" s="4" t="s">
        <v>153</v>
      </c>
      <c r="F8" s="4" t="s">
        <v>154</v>
      </c>
    </row>
    <row r="9" spans="1:6">
      <c r="A9" s="4" t="s">
        <v>155</v>
      </c>
      <c r="B9" s="5" t="s">
        <v>156</v>
      </c>
      <c r="C9" s="5" t="s">
        <v>157</v>
      </c>
      <c r="D9" s="5" t="s">
        <v>158</v>
      </c>
      <c r="E9" s="4" t="s">
        <v>139</v>
      </c>
      <c r="F9" s="4" t="s">
        <v>159</v>
      </c>
    </row>
    <row r="10" spans="1:6">
      <c r="A10" s="4" t="s">
        <v>160</v>
      </c>
      <c r="B10" s="5" t="s">
        <v>161</v>
      </c>
      <c r="C10" s="5" t="s">
        <v>162</v>
      </c>
      <c r="D10" s="5" t="s">
        <v>163</v>
      </c>
      <c r="E10" s="4" t="s">
        <v>164</v>
      </c>
      <c r="F10" s="4" t="s">
        <v>165</v>
      </c>
    </row>
    <row r="11" spans="1:6">
      <c r="A11" s="4" t="s">
        <v>166</v>
      </c>
      <c r="B11" s="5" t="s">
        <v>167</v>
      </c>
      <c r="C11" s="5" t="s">
        <v>168</v>
      </c>
      <c r="D11" s="5" t="s">
        <v>169</v>
      </c>
      <c r="E11" s="4" t="s">
        <v>139</v>
      </c>
      <c r="F11" s="4" t="s">
        <v>170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97706"/>
  </sheetPr>
  <dimension ref="A1:G1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30.7109375" customWidth="1"/>
    <col min="3" max="3" width="40.7109375" customWidth="1"/>
    <col min="4" max="4" width="16.7109375" customWidth="1"/>
    <col min="5" max="5" width="18.7109375" customWidth="1"/>
    <col min="6" max="6" width="45.7109375" customWidth="1"/>
    <col min="7" max="7" width="30.7109375" customWidth="1"/>
  </cols>
  <sheetData>
    <row r="1" spans="1:7">
      <c r="A1" s="1" t="s">
        <v>171</v>
      </c>
      <c r="B1" s="1"/>
      <c r="C1" s="1"/>
      <c r="D1" s="1"/>
      <c r="E1" s="1"/>
      <c r="F1" s="1"/>
      <c r="G1" s="1"/>
    </row>
    <row r="2" spans="1:7">
      <c r="A2" s="2" t="s">
        <v>172</v>
      </c>
      <c r="B2" s="2"/>
      <c r="C2" s="2"/>
      <c r="D2" s="2"/>
      <c r="E2" s="2"/>
      <c r="F2" s="2"/>
      <c r="G2" s="2"/>
    </row>
    <row r="4" spans="1:7">
      <c r="A4" s="3" t="s">
        <v>173</v>
      </c>
      <c r="B4" s="3" t="s">
        <v>174</v>
      </c>
      <c r="C4" s="3" t="s">
        <v>175</v>
      </c>
      <c r="D4" s="3" t="s">
        <v>176</v>
      </c>
      <c r="E4" s="3" t="s">
        <v>177</v>
      </c>
      <c r="F4" s="3" t="s">
        <v>178</v>
      </c>
      <c r="G4" s="3" t="s">
        <v>179</v>
      </c>
    </row>
    <row r="5" spans="1:7">
      <c r="A5" s="5" t="s">
        <v>180</v>
      </c>
      <c r="B5" s="5" t="s">
        <v>181</v>
      </c>
      <c r="C5" s="5" t="s">
        <v>182</v>
      </c>
      <c r="D5" s="12">
        <v>0</v>
      </c>
      <c r="E5" s="12">
        <v>0</v>
      </c>
      <c r="F5" s="5" t="s">
        <v>183</v>
      </c>
      <c r="G5" s="5" t="s">
        <v>184</v>
      </c>
    </row>
    <row r="6" spans="1:7">
      <c r="A6" s="5" t="s">
        <v>185</v>
      </c>
      <c r="B6" s="5" t="s">
        <v>186</v>
      </c>
      <c r="C6" s="5" t="s">
        <v>187</v>
      </c>
      <c r="D6" s="12">
        <v>0.0043</v>
      </c>
      <c r="E6" s="12">
        <v>0.08599999999999999</v>
      </c>
      <c r="F6" s="5" t="s">
        <v>188</v>
      </c>
      <c r="G6" s="5" t="s">
        <v>189</v>
      </c>
    </row>
    <row r="7" spans="1:7">
      <c r="A7" s="5" t="s">
        <v>190</v>
      </c>
      <c r="B7" s="5" t="s">
        <v>191</v>
      </c>
      <c r="C7" s="5" t="s">
        <v>192</v>
      </c>
      <c r="D7" s="12">
        <v>0.00025</v>
      </c>
      <c r="E7" s="12">
        <v>0.0015</v>
      </c>
      <c r="F7" s="5" t="s">
        <v>193</v>
      </c>
      <c r="G7" s="5" t="s">
        <v>194</v>
      </c>
    </row>
    <row r="8" spans="1:7">
      <c r="A8" s="5" t="s">
        <v>195</v>
      </c>
      <c r="B8" s="5" t="s">
        <v>191</v>
      </c>
      <c r="C8" s="5" t="s">
        <v>196</v>
      </c>
      <c r="D8" s="12">
        <v>0.00025</v>
      </c>
      <c r="E8" s="12">
        <v>0.0016</v>
      </c>
      <c r="F8" s="5" t="s">
        <v>197</v>
      </c>
      <c r="G8" s="5" t="s">
        <v>198</v>
      </c>
    </row>
    <row r="9" spans="1:7">
      <c r="A9" s="5" t="s">
        <v>199</v>
      </c>
      <c r="B9" s="5" t="s">
        <v>191</v>
      </c>
      <c r="C9" s="5" t="s">
        <v>200</v>
      </c>
      <c r="D9" s="12">
        <v>0.00025</v>
      </c>
      <c r="E9" s="12">
        <v>0.001</v>
      </c>
      <c r="F9" s="5" t="s">
        <v>201</v>
      </c>
      <c r="G9" s="5" t="s">
        <v>198</v>
      </c>
    </row>
    <row r="10" spans="1:7">
      <c r="A10" s="5" t="s">
        <v>202</v>
      </c>
      <c r="B10" s="5" t="s">
        <v>191</v>
      </c>
      <c r="C10" s="5" t="s">
        <v>203</v>
      </c>
      <c r="D10" s="12">
        <v>0.00025</v>
      </c>
      <c r="E10" s="12">
        <v>0.002</v>
      </c>
      <c r="F10" s="5" t="s">
        <v>204</v>
      </c>
      <c r="G10" s="5" t="s">
        <v>198</v>
      </c>
    </row>
    <row r="11" spans="1:7">
      <c r="A11" s="5" t="s">
        <v>205</v>
      </c>
      <c r="B11" s="5" t="s">
        <v>206</v>
      </c>
      <c r="C11" s="5" t="s">
        <v>207</v>
      </c>
      <c r="D11" s="12">
        <v>0.001</v>
      </c>
      <c r="E11" s="12">
        <v>0.016</v>
      </c>
      <c r="F11" s="5" t="s">
        <v>208</v>
      </c>
      <c r="G11" s="5" t="s">
        <v>209</v>
      </c>
    </row>
    <row r="12" spans="1:7">
      <c r="A12" s="5" t="s">
        <v>210</v>
      </c>
      <c r="B12" s="5" t="s">
        <v>211</v>
      </c>
      <c r="C12" s="5" t="s">
        <v>212</v>
      </c>
      <c r="D12" s="12">
        <v>10</v>
      </c>
      <c r="E12" s="12">
        <v>0.02</v>
      </c>
      <c r="F12" s="5" t="s">
        <v>213</v>
      </c>
      <c r="G12" s="5" t="s">
        <v>214</v>
      </c>
    </row>
    <row r="13" spans="1:7">
      <c r="A13" s="3" t="s">
        <v>215</v>
      </c>
      <c r="B13" s="3"/>
      <c r="C13" s="3"/>
      <c r="D13" s="3"/>
      <c r="E13" s="12">
        <f>SUM(E5:E12)</f>
        <v>0</v>
      </c>
      <c r="F13" s="9" t="s">
        <v>216</v>
      </c>
      <c r="G13" s="9"/>
    </row>
  </sheetData>
  <mergeCells count="4">
    <mergeCell ref="A1:G1"/>
    <mergeCell ref="A2:G2"/>
    <mergeCell ref="A13:D13"/>
    <mergeCell ref="F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WBS (Tasks)</vt:lpstr>
      <vt:lpstr>Immediate Action Plan</vt:lpstr>
      <vt:lpstr>QA &amp; Testing Matrix</vt:lpstr>
      <vt:lpstr>Cost &amp; Budget 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2026-10-08T19:04:26Z</dcterms:created>
  <dcterms:modified xsi:type="dcterms:W3CDTF">2026-10-08T19:04:26Z</dcterms:modified>
</cp:coreProperties>
</file>